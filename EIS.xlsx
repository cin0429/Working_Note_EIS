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indy_Git\Working_Note_EIS\"/>
    </mc:Choice>
  </mc:AlternateContent>
  <xr:revisionPtr revIDLastSave="0" documentId="13_ncr:1_{F5046448-D32F-48B4-9DF6-3CC9DFE65982}" xr6:coauthVersionLast="47" xr6:coauthVersionMax="47" xr10:uidLastSave="{00000000-0000-0000-0000-000000000000}"/>
  <bookViews>
    <workbookView xWindow="-120" yWindow="-120" windowWidth="29040" windowHeight="15720" xr2:uid="{815940DD-0C04-49C8-B170-1236598042ED}"/>
  </bookViews>
  <sheets>
    <sheet name="EIS" sheetId="1" r:id="rId1"/>
    <sheet name="Project_Alias" sheetId="4" r:id="rId2"/>
    <sheet name="EIS_Extra" sheetId="2" r:id="rId3"/>
    <sheet name="EIS_Web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7" i="1" l="1"/>
  <c r="O18" i="1" s="1"/>
  <c r="C17" i="1"/>
  <c r="C18" i="1" s="1"/>
  <c r="AL17" i="1"/>
  <c r="AL18" i="1" s="1"/>
  <c r="D17" i="1"/>
  <c r="D18" i="1" s="1"/>
  <c r="E17" i="1"/>
  <c r="E18" i="1" s="1"/>
  <c r="F17" i="1"/>
  <c r="F18" i="1" s="1"/>
  <c r="G17" i="1"/>
  <c r="G18" i="1" s="1"/>
  <c r="H17" i="1"/>
  <c r="H18" i="1" s="1"/>
  <c r="I17" i="1"/>
  <c r="I18" i="1" s="1"/>
  <c r="J17" i="1"/>
  <c r="J18" i="1" s="1"/>
  <c r="K17" i="1"/>
  <c r="K18" i="1" s="1"/>
  <c r="L17" i="1"/>
  <c r="L18" i="1" s="1"/>
  <c r="M17" i="1"/>
  <c r="M18" i="1" s="1"/>
  <c r="N17" i="1"/>
  <c r="N18" i="1" s="1"/>
  <c r="P17" i="1"/>
  <c r="P18" i="1" s="1"/>
  <c r="Q17" i="1"/>
  <c r="Q18" i="1" s="1"/>
  <c r="R17" i="1"/>
  <c r="R18" i="1" s="1"/>
  <c r="S17" i="1"/>
  <c r="S18" i="1" s="1"/>
  <c r="T17" i="1"/>
  <c r="T18" i="1" s="1"/>
  <c r="U17" i="1"/>
  <c r="U18" i="1" s="1"/>
  <c r="V17" i="1"/>
  <c r="V18" i="1" s="1"/>
  <c r="W17" i="1"/>
  <c r="W18" i="1" s="1"/>
  <c r="X17" i="1"/>
  <c r="X18" i="1" s="1"/>
  <c r="Y17" i="1"/>
  <c r="Y18" i="1" s="1"/>
  <c r="Z17" i="1"/>
  <c r="Z18" i="1" s="1"/>
  <c r="AA17" i="1"/>
  <c r="AA18" i="1" s="1"/>
  <c r="AB17" i="1"/>
  <c r="AB18" i="1" s="1"/>
  <c r="AC17" i="1"/>
  <c r="AC18" i="1" s="1"/>
  <c r="AD17" i="1"/>
  <c r="AD18" i="1" s="1"/>
  <c r="AE17" i="1"/>
  <c r="AE18" i="1" s="1"/>
  <c r="AF17" i="1"/>
  <c r="AF18" i="1" s="1"/>
  <c r="AG17" i="1"/>
  <c r="AG18" i="1" s="1"/>
  <c r="AH17" i="1"/>
  <c r="AH18" i="1" s="1"/>
  <c r="AI17" i="1"/>
  <c r="AI18" i="1" s="1"/>
  <c r="AJ17" i="1"/>
  <c r="AJ18" i="1" s="1"/>
  <c r="AK17" i="1"/>
  <c r="AK18" i="1" s="1"/>
  <c r="AM19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  <c r="AM17" i="1" l="1"/>
  <c r="AM18" i="1"/>
</calcChain>
</file>

<file path=xl/sharedStrings.xml><?xml version="1.0" encoding="utf-8"?>
<sst xmlns="http://schemas.openxmlformats.org/spreadsheetml/2006/main" count="465" uniqueCount="136">
  <si>
    <t>小時/
每份</t>
  </si>
  <si>
    <t>RaS</t>
  </si>
  <si>
    <t>Purmela</t>
  </si>
  <si>
    <t>BnC</t>
  </si>
  <si>
    <t>Malwa</t>
  </si>
  <si>
    <t>Indi</t>
  </si>
  <si>
    <t>WaE</t>
  </si>
  <si>
    <t>Aymara</t>
  </si>
  <si>
    <t>Deauville</t>
  </si>
  <si>
    <t>Jinan</t>
  </si>
  <si>
    <t>Inasa</t>
  </si>
  <si>
    <t>Benham</t>
  </si>
  <si>
    <t>Arias</t>
  </si>
  <si>
    <t>Maera</t>
  </si>
  <si>
    <t>Waleska</t>
  </si>
  <si>
    <t>MiraBay</t>
  </si>
  <si>
    <t>MontegoBay</t>
  </si>
  <si>
    <t>MorroBay</t>
  </si>
  <si>
    <t>HuntingtonBeach</t>
  </si>
  <si>
    <t>Vallejo</t>
  </si>
  <si>
    <t>Midwest</t>
  </si>
  <si>
    <t>Monzino</t>
  </si>
  <si>
    <t>Kingsdene</t>
  </si>
  <si>
    <t>Nunavut</t>
  </si>
  <si>
    <t>Tundra</t>
  </si>
  <si>
    <t>Barrett</t>
  </si>
  <si>
    <t>Barrett2</t>
  </si>
  <si>
    <t>Ebba</t>
  </si>
  <si>
    <t>Shawville</t>
  </si>
  <si>
    <t>Wallington</t>
  </si>
  <si>
    <t>Nothinghill</t>
  </si>
  <si>
    <t>Modena S</t>
  </si>
  <si>
    <t xml:space="preserve">Darius </t>
  </si>
  <si>
    <t>Zirconium</t>
  </si>
  <si>
    <t>Cadmium</t>
  </si>
  <si>
    <t>Edinburgh</t>
  </si>
  <si>
    <t>Summary</t>
  </si>
  <si>
    <t>Release MSA Report</t>
  </si>
  <si>
    <t>Release TS GL Report</t>
  </si>
  <si>
    <t xml:space="preserve">Submit ECN </t>
  </si>
  <si>
    <t>Provide GRR Analysis Result</t>
  </si>
  <si>
    <t>Review Logs (Fail / Incosistant / Mixed Logs)</t>
  </si>
  <si>
    <t>Provide Measurement Distribution Chart</t>
  </si>
  <si>
    <t>Provide Specification Limit Report</t>
  </si>
  <si>
    <t>Provide Test Time Comparison Report</t>
  </si>
  <si>
    <t>Provide Data Analysis Report</t>
  </si>
  <si>
    <t>Review Smoke Test Result</t>
  </si>
  <si>
    <t>Provide Custom Chart 
(Audio Frequency / Track Pad Force)</t>
  </si>
  <si>
    <t>M2 Log Parsing Maintenance</t>
  </si>
  <si>
    <t>Total Hours</t>
  </si>
  <si>
    <t>實際EIS ( Total Hours / 160 )</t>
  </si>
  <si>
    <t>建議申報EIS</t>
  </si>
  <si>
    <t>算在BnC</t>
  </si>
  <si>
    <t>算在Nunavut</t>
  </si>
  <si>
    <t>算在Darius</t>
  </si>
  <si>
    <t>掛名人員</t>
  </si>
  <si>
    <t>只能0.1 超過先詢問Sean</t>
  </si>
  <si>
    <t>Attend JDM1 / Kore meeting. Discuss with Reply client / partner mails</t>
  </si>
  <si>
    <t>Make custom-made tools / scripts to fulfill MTE requirement</t>
  </si>
  <si>
    <t>Handle administrative tasks</t>
  </si>
  <si>
    <t>Poject Name</t>
  </si>
  <si>
    <t>Project Code</t>
  </si>
  <si>
    <t>EIS Manpower</t>
  </si>
  <si>
    <t>Rossford</t>
  </si>
  <si>
    <t>BR0000015476</t>
  </si>
  <si>
    <t>BR0000015611</t>
  </si>
  <si>
    <t>BR0000015183</t>
  </si>
  <si>
    <t>BR0000015403</t>
  </si>
  <si>
    <t>BR0000015381</t>
  </si>
  <si>
    <t>BR0000015613</t>
  </si>
  <si>
    <t>BR0000013649</t>
  </si>
  <si>
    <t>BR0000015203</t>
  </si>
  <si>
    <t>BR0000014962</t>
  </si>
  <si>
    <t>BR0000016021</t>
  </si>
  <si>
    <t>BR0000015182</t>
  </si>
  <si>
    <t>BR0000015511</t>
  </si>
  <si>
    <t>BR0000013763</t>
  </si>
  <si>
    <t>BR0000016347</t>
  </si>
  <si>
    <t>BR0000014935</t>
  </si>
  <si>
    <t>BR0000015658</t>
  </si>
  <si>
    <t>BR0000016145</t>
  </si>
  <si>
    <t>BR0000015339</t>
  </si>
  <si>
    <t>BR0000016075</t>
  </si>
  <si>
    <t>HEREDIA(HER)/HER_SERIES/VN</t>
  </si>
  <si>
    <t>ROSSFORD(ROS)/ROS_SERIES/VN</t>
  </si>
  <si>
    <t>BEAUMONT(BMT)/BEAUMONT_SERIES</t>
  </si>
  <si>
    <t>DEAUVILLE(DV)/DV_SERIES</t>
  </si>
  <si>
    <t>ARIAS(ARI)/ARI_ SERIES</t>
  </si>
  <si>
    <t>BR0000013690</t>
  </si>
  <si>
    <t>NUNAVUT/NUNAVUT_SERIES</t>
  </si>
  <si>
    <t>VALLEJO(VAL)/VAL_ SERIES</t>
  </si>
  <si>
    <t>MONTEGO_BAY(MON)/MON_SERIES</t>
  </si>
  <si>
    <t>BR0000015259</t>
  </si>
  <si>
    <t>BARRETT</t>
  </si>
  <si>
    <t>BR0000015366</t>
  </si>
  <si>
    <t>BARRETT2</t>
  </si>
  <si>
    <t>JINAN/VN</t>
  </si>
  <si>
    <t>BENHAM_AM (Intel 13')</t>
  </si>
  <si>
    <t>BR0000014978</t>
  </si>
  <si>
    <t>WALLINGTON/WALLINGTON_SERIES</t>
  </si>
  <si>
    <t>BR0000014355</t>
  </si>
  <si>
    <t>MONZINO</t>
  </si>
  <si>
    <t>MORRO_BAY(MOR)/MOR_SERIES</t>
  </si>
  <si>
    <t>SHAWVILLE(SHAW)/SHAW_ SERIES</t>
  </si>
  <si>
    <t>MAERA/MAERA_SERIES</t>
  </si>
  <si>
    <t>WALESKA(WAL)/WAL_SERIES</t>
  </si>
  <si>
    <t>MIRA_BAY(MIR)/MIR_SERIES</t>
  </si>
  <si>
    <t>BR0000016041</t>
  </si>
  <si>
    <t>DARIUS/DARIUS_SERIES/VN</t>
  </si>
  <si>
    <t>EDINBURGH/EDINBURGH_SERIES/VN</t>
  </si>
  <si>
    <t>PURMELA(PUR)/PUR_SERIES</t>
  </si>
  <si>
    <t>INASA/INASA_SERIES</t>
  </si>
  <si>
    <t>MIDWEST(MID)/MID_ SERIES</t>
  </si>
  <si>
    <t>AYMARA</t>
  </si>
  <si>
    <t>Ryan Huang(黃柏瑋_Pegatron)</t>
  </si>
  <si>
    <t>KORE</t>
  </si>
  <si>
    <t>USER_NAME</t>
  </si>
  <si>
    <t>ACCOUNT_CATEGORY</t>
  </si>
  <si>
    <t>EIS_PROJECT_CODE</t>
  </si>
  <si>
    <t>EIS_PROJECT_CODE_NAME</t>
  </si>
  <si>
    <t>人員自行填寫</t>
  </si>
  <si>
    <t>主管調整&amp;送出</t>
  </si>
  <si>
    <t>- Engage MTE TestSuite green light process.
- Provide MSA GRR report.
- Submit ECN for new version TS deployment.
- Fulfill data related requests from MTE.</t>
  </si>
  <si>
    <t>Cindy2 Chang(張迺偵_Pegatron)</t>
  </si>
  <si>
    <t>Vinson Lin (林育聖_Pegatron)</t>
  </si>
  <si>
    <t>Hak</t>
  </si>
  <si>
    <t>Alias</t>
  </si>
  <si>
    <t>Real_Project</t>
  </si>
  <si>
    <t>Sandton</t>
  </si>
  <si>
    <t>Rossline</t>
  </si>
  <si>
    <t>Darius</t>
  </si>
  <si>
    <t>Morrobay</t>
  </si>
  <si>
    <t>Montegobay</t>
  </si>
  <si>
    <t>Mirabay</t>
  </si>
  <si>
    <t xml:space="preserve"> Work Items</t>
  </si>
  <si>
    <t>黃色區域為手動填寫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</si>
</sst>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181A1B"/>
      <name val="Arial"/>
      <family val="2"/>
    </font>
    <font>
      <sz val="10"/>
      <color theme="1"/>
      <name val="Arial"/>
      <family val="2"/>
      <scheme val="minor"/>
    </font>
    <font>
      <sz val="10"/>
      <color rgb="FF181A1B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scheme val="minor"/>
    </font>
    <font>
      <sz val="11"/>
      <color rgb="FF000000"/>
      <name val="Microsoft JhengHei"/>
      <family val="2"/>
    </font>
    <font>
      <sz val="12"/>
      <color rgb="FF000000"/>
      <name val="Microsoft JhengHei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Microsoft JhengHei"/>
      <family val="2"/>
    </font>
    <font>
      <sz val="11"/>
      <color rgb="FFD0D4D9"/>
      <name val="Microsoft JhengHei"/>
      <family val="2"/>
    </font>
    <font>
      <b/>
      <sz val="11"/>
      <color rgb="FFD0D4D9"/>
      <name val="Microsoft JhengHei"/>
      <family val="2"/>
    </font>
    <font>
      <b/>
      <sz val="1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5A36"/>
        <bgColor indexed="64"/>
      </patternFill>
    </fill>
    <fill>
      <patternFill patternType="solid">
        <fgColor rgb="FF383F2C"/>
        <bgColor indexed="64"/>
      </patternFill>
    </fill>
    <fill>
      <patternFill patternType="solid">
        <fgColor rgb="FFFA7D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0" fontId="6" fillId="0" borderId="0" xfId="0" applyFont="1"/>
    <xf numFmtId="0" fontId="7" fillId="0" borderId="2" xfId="0" applyFont="1" applyBorder="1" applyAlignment="1">
      <alignment wrapText="1"/>
    </xf>
    <xf numFmtId="0" fontId="8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10" fillId="0" borderId="4" xfId="0" applyFont="1" applyBorder="1"/>
    <xf numFmtId="0" fontId="7" fillId="0" borderId="2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" xfId="0" applyFont="1" applyBorder="1" applyAlignment="1">
      <alignment horizontal="right" vertical="center" wrapText="1"/>
    </xf>
    <xf numFmtId="0" fontId="7" fillId="6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3B9A-F4CF-4EC1-862C-002A28C89590}">
  <dimension ref="A1:AY999"/>
  <sheetViews>
    <sheetView tabSelected="1" workbookViewId="0">
      <pane xSplit="2" topLeftCell="C1" activePane="topRight" state="frozen"/>
      <selection pane="topRight" activeCell="A35" sqref="A35"/>
    </sheetView>
  </sheetViews>
  <sheetFormatPr defaultColWidth="12.5703125" defaultRowHeight="12.75" x14ac:dyDescent="0.2"/>
  <cols>
    <col min="1" max="1" width="63.5703125" customWidth="1"/>
    <col min="2" max="2" width="8.42578125" customWidth="1"/>
    <col min="3" max="3" width="11.140625" customWidth="1"/>
    <col min="4" max="6" width="10.42578125" customWidth="1"/>
    <col min="7" max="7" width="11.140625" customWidth="1"/>
    <col min="8" max="8" width="10.140625" customWidth="1"/>
    <col min="9" max="9" width="10.42578125" customWidth="1"/>
    <col min="10" max="10" width="10.140625" customWidth="1"/>
    <col min="11" max="12" width="11" customWidth="1"/>
    <col min="27" max="27" width="16.140625" customWidth="1"/>
    <col min="43" max="43" width="16.42578125" customWidth="1"/>
  </cols>
  <sheetData>
    <row r="1" spans="1:51" x14ac:dyDescent="0.2">
      <c r="A1" s="1" t="s">
        <v>134</v>
      </c>
      <c r="B1" s="1" t="s">
        <v>0</v>
      </c>
      <c r="C1" s="1" t="s">
        <v>125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1" t="s">
        <v>37</v>
      </c>
      <c r="B2" s="2">
        <v>8</v>
      </c>
      <c r="C2" s="2"/>
      <c r="D2" s="2"/>
      <c r="E2" s="2"/>
      <c r="F2" s="2"/>
      <c r="G2" s="2"/>
      <c r="H2" s="1"/>
      <c r="I2" s="1"/>
      <c r="J2" s="1"/>
      <c r="K2" s="2"/>
      <c r="L2" s="2"/>
      <c r="M2" s="2"/>
      <c r="N2" s="1"/>
      <c r="O2" s="2"/>
      <c r="P2" s="1"/>
      <c r="Q2" s="1"/>
      <c r="R2" s="2"/>
      <c r="S2" s="2"/>
      <c r="T2" s="1"/>
      <c r="U2" s="1"/>
      <c r="V2" s="1"/>
      <c r="W2" s="1">
        <v>4</v>
      </c>
      <c r="X2" s="1"/>
      <c r="Y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f t="shared" ref="AM2:AM15" si="0">SUM(C2:AL2)</f>
        <v>4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">
      <c r="A3" s="1" t="s">
        <v>38</v>
      </c>
      <c r="B3" s="1">
        <v>6</v>
      </c>
      <c r="C3" s="2"/>
      <c r="D3" s="2"/>
      <c r="E3" s="2"/>
      <c r="F3" s="2"/>
      <c r="G3" s="2"/>
      <c r="H3" s="1"/>
      <c r="I3" s="1"/>
      <c r="J3" s="1"/>
      <c r="K3" s="2"/>
      <c r="L3" s="2"/>
      <c r="M3" s="2"/>
      <c r="N3" s="1"/>
      <c r="O3" s="2"/>
      <c r="P3" s="1"/>
      <c r="R3" s="1"/>
      <c r="S3" s="1"/>
      <c r="T3" s="1"/>
      <c r="U3" s="1"/>
      <c r="V3" s="1"/>
      <c r="W3" s="1"/>
      <c r="X3" s="1"/>
      <c r="Y3" s="1"/>
      <c r="Z3" s="1"/>
      <c r="AA3" s="1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1">
        <f t="shared" si="0"/>
        <v>0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">
      <c r="A4" s="1" t="s">
        <v>39</v>
      </c>
      <c r="B4" s="1">
        <v>2</v>
      </c>
      <c r="C4" s="1"/>
      <c r="D4" s="1"/>
      <c r="E4" s="1"/>
      <c r="F4" s="1"/>
      <c r="G4" s="1"/>
      <c r="H4" s="1"/>
      <c r="I4" s="2"/>
      <c r="J4" s="2"/>
      <c r="K4" s="1"/>
      <c r="L4" s="1"/>
      <c r="M4" s="1"/>
      <c r="N4" s="1"/>
      <c r="O4" s="1"/>
      <c r="P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>
        <f t="shared" si="0"/>
        <v>0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">
      <c r="A5" s="3" t="s">
        <v>40</v>
      </c>
      <c r="B5" s="1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>
        <f t="shared" si="0"/>
        <v>0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">
      <c r="A6" s="3" t="s">
        <v>41</v>
      </c>
      <c r="B6" s="1">
        <v>2</v>
      </c>
      <c r="C6" s="2"/>
      <c r="D6" s="2"/>
      <c r="E6" s="2"/>
      <c r="F6" s="2"/>
      <c r="G6" s="2"/>
      <c r="H6" s="1"/>
      <c r="I6" s="1"/>
      <c r="J6" s="1"/>
      <c r="K6" s="2"/>
      <c r="L6" s="2"/>
      <c r="M6" s="2"/>
      <c r="N6" s="1"/>
      <c r="O6" s="2"/>
      <c r="P6" s="1"/>
      <c r="R6" s="2"/>
      <c r="S6" s="2"/>
      <c r="T6" s="1"/>
      <c r="U6" s="1"/>
      <c r="V6" s="1"/>
      <c r="W6" s="1"/>
      <c r="X6" s="1"/>
      <c r="Y6" s="1"/>
      <c r="Z6" s="1"/>
      <c r="AA6" s="1"/>
      <c r="AB6" s="1"/>
      <c r="AC6" s="2"/>
      <c r="AD6" s="2"/>
      <c r="AE6" s="2"/>
      <c r="AF6" s="2"/>
      <c r="AG6" s="2"/>
      <c r="AH6" s="2"/>
      <c r="AI6" s="2"/>
      <c r="AJ6" s="2"/>
      <c r="AK6" s="2"/>
      <c r="AL6" s="2"/>
      <c r="AM6" s="1">
        <f t="shared" si="0"/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">
      <c r="A7" s="3" t="s">
        <v>42</v>
      </c>
      <c r="B7" s="1">
        <v>4</v>
      </c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>
        <v>1</v>
      </c>
      <c r="R7" s="1"/>
      <c r="S7" s="1"/>
      <c r="T7" s="1"/>
      <c r="U7" s="1"/>
      <c r="V7" s="1"/>
      <c r="W7" s="1">
        <v>1</v>
      </c>
      <c r="X7" s="1"/>
      <c r="Y7" s="1"/>
      <c r="Z7" s="1"/>
      <c r="AA7" s="1"/>
      <c r="AB7" s="1"/>
      <c r="AC7" s="2"/>
      <c r="AD7" s="2"/>
      <c r="AE7" s="2"/>
      <c r="AF7" s="2"/>
      <c r="AG7" s="2"/>
      <c r="AH7" s="2"/>
      <c r="AI7" s="2"/>
      <c r="AJ7" s="2"/>
      <c r="AK7" s="2"/>
      <c r="AL7" s="2"/>
      <c r="AM7" s="1">
        <f t="shared" si="0"/>
        <v>2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">
      <c r="A8" s="3" t="s">
        <v>43</v>
      </c>
      <c r="B8" s="1">
        <v>4</v>
      </c>
      <c r="C8" s="2"/>
      <c r="D8" s="2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2"/>
      <c r="AD8" s="2"/>
      <c r="AE8" s="2"/>
      <c r="AF8" s="2"/>
      <c r="AG8" s="2"/>
      <c r="AH8" s="2"/>
      <c r="AI8" s="2"/>
      <c r="AJ8" s="2"/>
      <c r="AK8" s="2"/>
      <c r="AL8" s="2"/>
      <c r="AM8" s="1">
        <f t="shared" si="0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">
      <c r="A9" s="3" t="s">
        <v>44</v>
      </c>
      <c r="B9" s="1">
        <v>4</v>
      </c>
      <c r="C9" s="2"/>
      <c r="D9" s="2"/>
      <c r="E9" s="2"/>
      <c r="F9" s="2"/>
      <c r="G9" s="1"/>
      <c r="H9" s="1"/>
      <c r="I9" s="1"/>
      <c r="J9" s="1"/>
      <c r="K9" s="2"/>
      <c r="L9" s="2"/>
      <c r="M9" s="2"/>
      <c r="N9" s="1"/>
      <c r="O9" s="2"/>
      <c r="P9" s="1"/>
      <c r="R9" s="2"/>
      <c r="S9" s="2"/>
      <c r="T9" s="1"/>
      <c r="U9" s="1"/>
      <c r="V9" s="1"/>
      <c r="W9" s="1"/>
      <c r="X9" s="1"/>
      <c r="Y9" s="1"/>
      <c r="Z9" s="1"/>
      <c r="AA9" s="1"/>
      <c r="AB9" s="1"/>
      <c r="AC9" s="2"/>
      <c r="AD9" s="2"/>
      <c r="AE9" s="2"/>
      <c r="AF9" s="2"/>
      <c r="AG9" s="2"/>
      <c r="AH9" s="2"/>
      <c r="AI9" s="2"/>
      <c r="AJ9" s="2"/>
      <c r="AK9" s="2"/>
      <c r="AL9" s="2"/>
      <c r="AM9" s="1">
        <f t="shared" si="0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">
      <c r="A10" s="3" t="s">
        <v>45</v>
      </c>
      <c r="B10" s="1">
        <v>4</v>
      </c>
      <c r="C10" s="1"/>
      <c r="D10" s="1"/>
      <c r="E10" s="1"/>
      <c r="F10" s="1"/>
      <c r="G10" s="1"/>
      <c r="H10" s="1"/>
      <c r="I10" s="1"/>
      <c r="J10" s="1"/>
      <c r="K10" s="2"/>
      <c r="L10" s="2"/>
      <c r="M10" s="2"/>
      <c r="N10" s="1"/>
      <c r="O10" s="2"/>
      <c r="P10" s="1"/>
      <c r="Q10" s="4"/>
      <c r="R10" s="2"/>
      <c r="S10" s="2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>
        <f t="shared" si="0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">
      <c r="A11" s="3" t="s">
        <v>46</v>
      </c>
      <c r="B11" s="4">
        <v>2</v>
      </c>
      <c r="C11" s="2"/>
      <c r="D11" s="2"/>
      <c r="E11" s="2"/>
      <c r="F11" s="2"/>
      <c r="G11" s="2"/>
      <c r="H11" s="1"/>
      <c r="I11" s="1"/>
      <c r="J11" s="1"/>
      <c r="K11" s="2"/>
      <c r="L11" s="2"/>
      <c r="M11" s="2"/>
      <c r="N11" s="1"/>
      <c r="O11" s="2"/>
      <c r="P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1">
        <f t="shared" si="0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">
      <c r="A12" s="5" t="s">
        <v>57</v>
      </c>
      <c r="B12" s="4">
        <v>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>
        <f t="shared" si="0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">
      <c r="A13" s="3" t="s">
        <v>47</v>
      </c>
      <c r="B13" s="4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>
        <f t="shared" si="0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">
      <c r="A14" s="3" t="s">
        <v>48</v>
      </c>
      <c r="B14" s="4">
        <v>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>
        <f t="shared" si="0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">
      <c r="A15" s="5" t="s">
        <v>58</v>
      </c>
      <c r="B15" s="4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>
        <f t="shared" si="0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">
      <c r="A16" s="5" t="s">
        <v>59</v>
      </c>
      <c r="B16" s="4">
        <v>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">
      <c r="A17" s="1" t="s">
        <v>49</v>
      </c>
      <c r="B17" s="1"/>
      <c r="C17" s="1">
        <f>SUM(($B2*C2)+($B3*C3)+($B4*C4)+($B5*C5)+($B6*C6)+($B7*C7)+($B8*C8)+($B9*C9)+($B10*C10)+($B11*C11)+($B12*C12)+($B13*C13)+($B14*C14)+($B15*C15)+($B16*C16))</f>
        <v>0</v>
      </c>
      <c r="D17" s="1">
        <f t="shared" ref="D17:AK17" si="1">SUM(($B2*D2)+($B3*D3)+($B4*D4)+($B5*D5)+($B6*D6)+($B7*D7)+($B8*D8)+($B9*D9)+($B10*D10)+($B11*D11)+($B12*D12)+($B13*D13)+($B14*D14)+($B15*D15)+($B16*D16))</f>
        <v>0</v>
      </c>
      <c r="E17" s="1">
        <f t="shared" si="1"/>
        <v>0</v>
      </c>
      <c r="F17" s="1">
        <f t="shared" si="1"/>
        <v>0</v>
      </c>
      <c r="G17" s="1">
        <f t="shared" si="1"/>
        <v>0</v>
      </c>
      <c r="H17" s="1">
        <f t="shared" si="1"/>
        <v>0</v>
      </c>
      <c r="I17" s="1">
        <f t="shared" si="1"/>
        <v>0</v>
      </c>
      <c r="J17" s="1">
        <f t="shared" si="1"/>
        <v>0</v>
      </c>
      <c r="K17" s="1">
        <f t="shared" si="1"/>
        <v>0</v>
      </c>
      <c r="L17" s="1">
        <f t="shared" si="1"/>
        <v>0</v>
      </c>
      <c r="M17" s="1">
        <f t="shared" si="1"/>
        <v>0</v>
      </c>
      <c r="N17" s="1">
        <f t="shared" si="1"/>
        <v>0</v>
      </c>
      <c r="O17" s="1">
        <f>SUM(($B2*O2)+($B3*O3)+($B4*O4)+($B5*O5)+($B6*O6)+($B7*O7)+($B8*O8)+($B9*O9)+($B10*O10)+($B11*O11)+($B12*O12)+($B13*O13)+($B14*O14)+($B15*O15)+($B16*O16))</f>
        <v>0</v>
      </c>
      <c r="P17" s="1">
        <f t="shared" si="1"/>
        <v>4</v>
      </c>
      <c r="Q17" s="1">
        <f t="shared" si="1"/>
        <v>0</v>
      </c>
      <c r="R17" s="1">
        <f t="shared" si="1"/>
        <v>0</v>
      </c>
      <c r="S17" s="1">
        <f t="shared" si="1"/>
        <v>0</v>
      </c>
      <c r="T17" s="1">
        <f t="shared" si="1"/>
        <v>0</v>
      </c>
      <c r="U17" s="1">
        <f t="shared" si="1"/>
        <v>0</v>
      </c>
      <c r="V17" s="1">
        <f t="shared" si="1"/>
        <v>0</v>
      </c>
      <c r="W17" s="1">
        <f t="shared" si="1"/>
        <v>36</v>
      </c>
      <c r="X17" s="1">
        <f t="shared" si="1"/>
        <v>0</v>
      </c>
      <c r="Y17" s="1">
        <f t="shared" si="1"/>
        <v>0</v>
      </c>
      <c r="Z17" s="1">
        <f t="shared" si="1"/>
        <v>0</v>
      </c>
      <c r="AA17" s="1">
        <f t="shared" si="1"/>
        <v>0</v>
      </c>
      <c r="AB17" s="1">
        <f t="shared" si="1"/>
        <v>0</v>
      </c>
      <c r="AC17" s="1">
        <f t="shared" si="1"/>
        <v>0</v>
      </c>
      <c r="AD17" s="1">
        <f t="shared" si="1"/>
        <v>0</v>
      </c>
      <c r="AE17" s="1">
        <f t="shared" si="1"/>
        <v>0</v>
      </c>
      <c r="AF17" s="1">
        <f t="shared" si="1"/>
        <v>0</v>
      </c>
      <c r="AG17" s="1">
        <f t="shared" si="1"/>
        <v>0</v>
      </c>
      <c r="AH17" s="1">
        <f t="shared" si="1"/>
        <v>0</v>
      </c>
      <c r="AI17" s="1">
        <f t="shared" si="1"/>
        <v>0</v>
      </c>
      <c r="AJ17" s="1">
        <f t="shared" si="1"/>
        <v>0</v>
      </c>
      <c r="AK17" s="1">
        <f t="shared" si="1"/>
        <v>0</v>
      </c>
      <c r="AL17" s="1">
        <f>SUM(($B2*AL2)+($B3*AL3)+($B4*AL4)+($B5*AL5)+($B6*AL6)+($B7*AL7)+($B8*AL8)+($B9*AL9)+($B10*AL10)+($B11*AL11)+($B12*AL12)+($B13*AL13)+($B14*AL14)+($B15*AL15)+($B16*AL16))</f>
        <v>0</v>
      </c>
      <c r="AM17" s="1">
        <f t="shared" ref="AM17" si="2">SUM(($B2*AM2)+($B3*AM3)+($B4*AM4)+($B5*AM5)+($B6*AM6)+($B7*AM7)+($B8*AM8)+($B9*AM9)+($B10*AM10)+($B11*AM11)+($B12*AM12)+($B13*AM13)+($B14*AM14)+($B15*AM15))</f>
        <v>40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">
      <c r="A18" s="1" t="s">
        <v>50</v>
      </c>
      <c r="B18" s="1"/>
      <c r="C18" s="1">
        <f>C17/160</f>
        <v>0</v>
      </c>
      <c r="D18" s="1">
        <f>D17/160</f>
        <v>0</v>
      </c>
      <c r="E18" s="1">
        <f t="shared" ref="E18:AL18" si="3">E17/160</f>
        <v>0</v>
      </c>
      <c r="F18" s="1">
        <f t="shared" si="3"/>
        <v>0</v>
      </c>
      <c r="G18" s="1">
        <f t="shared" si="3"/>
        <v>0</v>
      </c>
      <c r="H18" s="1">
        <f t="shared" si="3"/>
        <v>0</v>
      </c>
      <c r="I18" s="1">
        <f t="shared" si="3"/>
        <v>0</v>
      </c>
      <c r="J18" s="1">
        <f t="shared" si="3"/>
        <v>0</v>
      </c>
      <c r="K18" s="1">
        <f t="shared" si="3"/>
        <v>0</v>
      </c>
      <c r="L18" s="1">
        <f t="shared" si="3"/>
        <v>0</v>
      </c>
      <c r="M18" s="1">
        <f t="shared" si="3"/>
        <v>0</v>
      </c>
      <c r="N18" s="1">
        <f t="shared" si="3"/>
        <v>0</v>
      </c>
      <c r="O18" s="1">
        <f t="shared" si="3"/>
        <v>0</v>
      </c>
      <c r="P18" s="1">
        <f t="shared" si="3"/>
        <v>2.5000000000000001E-2</v>
      </c>
      <c r="Q18" s="1">
        <f t="shared" si="3"/>
        <v>0</v>
      </c>
      <c r="R18" s="1">
        <f t="shared" si="3"/>
        <v>0</v>
      </c>
      <c r="S18" s="1">
        <f t="shared" si="3"/>
        <v>0</v>
      </c>
      <c r="T18" s="1">
        <f t="shared" si="3"/>
        <v>0</v>
      </c>
      <c r="U18" s="1">
        <f t="shared" si="3"/>
        <v>0</v>
      </c>
      <c r="V18" s="1">
        <f t="shared" si="3"/>
        <v>0</v>
      </c>
      <c r="W18" s="1">
        <f t="shared" si="3"/>
        <v>0.22500000000000001</v>
      </c>
      <c r="X18" s="1">
        <f t="shared" si="3"/>
        <v>0</v>
      </c>
      <c r="Y18" s="1">
        <f t="shared" si="3"/>
        <v>0</v>
      </c>
      <c r="Z18" s="1">
        <f t="shared" si="3"/>
        <v>0</v>
      </c>
      <c r="AA18" s="1">
        <f t="shared" si="3"/>
        <v>0</v>
      </c>
      <c r="AB18" s="1">
        <f t="shared" si="3"/>
        <v>0</v>
      </c>
      <c r="AC18" s="1">
        <f t="shared" si="3"/>
        <v>0</v>
      </c>
      <c r="AD18" s="1">
        <f t="shared" si="3"/>
        <v>0</v>
      </c>
      <c r="AE18" s="1">
        <f t="shared" si="3"/>
        <v>0</v>
      </c>
      <c r="AF18" s="1">
        <f t="shared" si="3"/>
        <v>0</v>
      </c>
      <c r="AG18" s="1">
        <f t="shared" si="3"/>
        <v>0</v>
      </c>
      <c r="AH18" s="1">
        <f t="shared" si="3"/>
        <v>0</v>
      </c>
      <c r="AI18" s="1">
        <f t="shared" si="3"/>
        <v>0</v>
      </c>
      <c r="AJ18" s="1">
        <f t="shared" si="3"/>
        <v>0</v>
      </c>
      <c r="AK18" s="1">
        <f t="shared" si="3"/>
        <v>0</v>
      </c>
      <c r="AL18" s="1">
        <f t="shared" si="3"/>
        <v>0</v>
      </c>
      <c r="AM18" s="3">
        <f t="shared" ref="AM18:AM19" si="4">SUM(C18:AL18)</f>
        <v>0.25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s="9" customFormat="1" x14ac:dyDescent="0.2">
      <c r="A19" s="6" t="s">
        <v>51</v>
      </c>
      <c r="B19" s="6"/>
      <c r="C19" s="7"/>
      <c r="D19" s="7"/>
      <c r="E19" s="7"/>
      <c r="F19" s="7"/>
      <c r="G19" s="7" t="s">
        <v>52</v>
      </c>
      <c r="H19" s="7" t="s">
        <v>52</v>
      </c>
      <c r="I19" s="7" t="s">
        <v>52</v>
      </c>
      <c r="J19" s="7"/>
      <c r="K19" s="7"/>
      <c r="L19" s="7"/>
      <c r="M19" s="6"/>
      <c r="N19" s="6"/>
      <c r="O19" s="7"/>
      <c r="P19" s="7"/>
      <c r="Q19" s="7"/>
      <c r="R19" s="7"/>
      <c r="S19" s="7"/>
      <c r="T19" s="7"/>
      <c r="U19" s="7"/>
      <c r="V19" s="6"/>
      <c r="W19" s="7"/>
      <c r="X19" s="6"/>
      <c r="Y19" s="6"/>
      <c r="Z19" s="6"/>
      <c r="AA19" s="7" t="s">
        <v>53</v>
      </c>
      <c r="AB19" s="7"/>
      <c r="AC19" s="7"/>
      <c r="AD19" s="7"/>
      <c r="AE19" s="7"/>
      <c r="AF19" s="7"/>
      <c r="AG19" s="7"/>
      <c r="AH19" s="7"/>
      <c r="AI19" s="7"/>
      <c r="AJ19" s="7" t="s">
        <v>54</v>
      </c>
      <c r="AK19" s="7" t="s">
        <v>54</v>
      </c>
      <c r="AL19" s="7"/>
      <c r="AM19" s="8">
        <f t="shared" si="4"/>
        <v>0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spans="1:51" s="9" customFormat="1" ht="13.5" thickBot="1" x14ac:dyDescent="0.25">
      <c r="A20" s="6" t="s">
        <v>55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N20" s="6"/>
      <c r="O20" s="6"/>
      <c r="P20" s="6"/>
      <c r="Q20" s="6"/>
      <c r="R20" s="6"/>
      <c r="S20" s="6"/>
      <c r="T20" s="6"/>
      <c r="U20" s="6"/>
      <c r="V20" s="6"/>
      <c r="W20" s="7"/>
      <c r="X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</row>
    <row r="21" spans="1:51" s="9" customFormat="1" ht="24" thickBot="1" x14ac:dyDescent="0.25">
      <c r="A21" s="29" t="s">
        <v>135</v>
      </c>
      <c r="B21" s="6"/>
      <c r="C21" s="6"/>
      <c r="D21" s="6"/>
      <c r="E21" s="6"/>
      <c r="F21" s="6"/>
      <c r="G21" s="6"/>
      <c r="H21" s="6"/>
      <c r="I21" s="6"/>
      <c r="K21" s="6"/>
      <c r="L21" s="6" t="s">
        <v>56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</row>
    <row r="22" spans="1:5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3BDD-F0F0-4FBF-B332-DFB5ED36A8E0}">
  <dimension ref="A1:C31"/>
  <sheetViews>
    <sheetView workbookViewId="0">
      <selection activeCell="E7" sqref="E7"/>
    </sheetView>
  </sheetViews>
  <sheetFormatPr defaultRowHeight="12.75" x14ac:dyDescent="0.2"/>
  <cols>
    <col min="1" max="1" width="40" customWidth="1"/>
    <col min="2" max="2" width="31.28515625" customWidth="1"/>
    <col min="3" max="3" width="28.28515625" customWidth="1"/>
  </cols>
  <sheetData>
    <row r="1" spans="1:3" x14ac:dyDescent="0.2">
      <c r="A1" s="28" t="s">
        <v>126</v>
      </c>
      <c r="B1" s="28" t="s">
        <v>127</v>
      </c>
      <c r="C1" s="28" t="s">
        <v>61</v>
      </c>
    </row>
    <row r="2" spans="1:3" x14ac:dyDescent="0.2">
      <c r="A2" t="s">
        <v>63</v>
      </c>
      <c r="B2" s="1" t="s">
        <v>1</v>
      </c>
      <c r="C2" t="s">
        <v>64</v>
      </c>
    </row>
    <row r="3" spans="1:3" x14ac:dyDescent="0.2">
      <c r="A3" t="s">
        <v>128</v>
      </c>
      <c r="B3" s="1" t="s">
        <v>1</v>
      </c>
      <c r="C3" t="s">
        <v>64</v>
      </c>
    </row>
    <row r="4" spans="1:3" x14ac:dyDescent="0.2">
      <c r="A4" t="s">
        <v>129</v>
      </c>
      <c r="B4" s="1" t="s">
        <v>1</v>
      </c>
      <c r="C4" t="s">
        <v>64</v>
      </c>
    </row>
    <row r="5" spans="1:3" x14ac:dyDescent="0.2">
      <c r="A5" s="1" t="s">
        <v>83</v>
      </c>
      <c r="B5" t="s">
        <v>125</v>
      </c>
      <c r="C5" t="s">
        <v>65</v>
      </c>
    </row>
    <row r="6" spans="1:3" x14ac:dyDescent="0.2">
      <c r="A6" s="1" t="s">
        <v>84</v>
      </c>
      <c r="B6" t="s">
        <v>1</v>
      </c>
      <c r="C6" t="s">
        <v>64</v>
      </c>
    </row>
    <row r="7" spans="1:3" x14ac:dyDescent="0.2">
      <c r="A7" s="1" t="s">
        <v>85</v>
      </c>
      <c r="B7" t="s">
        <v>3</v>
      </c>
      <c r="C7" t="s">
        <v>66</v>
      </c>
    </row>
    <row r="8" spans="1:3" x14ac:dyDescent="0.2">
      <c r="A8" s="1" t="s">
        <v>86</v>
      </c>
      <c r="B8" t="s">
        <v>8</v>
      </c>
      <c r="C8" t="s">
        <v>68</v>
      </c>
    </row>
    <row r="9" spans="1:3" x14ac:dyDescent="0.2">
      <c r="A9" s="1" t="s">
        <v>87</v>
      </c>
      <c r="B9" t="s">
        <v>12</v>
      </c>
      <c r="C9" t="s">
        <v>78</v>
      </c>
    </row>
    <row r="10" spans="1:3" x14ac:dyDescent="0.2">
      <c r="A10" s="1" t="s">
        <v>89</v>
      </c>
      <c r="B10" t="s">
        <v>23</v>
      </c>
      <c r="C10" t="s">
        <v>88</v>
      </c>
    </row>
    <row r="11" spans="1:3" x14ac:dyDescent="0.2">
      <c r="A11" s="1" t="s">
        <v>90</v>
      </c>
      <c r="B11" t="s">
        <v>19</v>
      </c>
      <c r="C11" t="s">
        <v>72</v>
      </c>
    </row>
    <row r="12" spans="1:3" x14ac:dyDescent="0.2">
      <c r="A12" s="1" t="s">
        <v>91</v>
      </c>
      <c r="B12" t="s">
        <v>132</v>
      </c>
      <c r="C12" t="s">
        <v>74</v>
      </c>
    </row>
    <row r="13" spans="1:3" x14ac:dyDescent="0.2">
      <c r="A13" s="1" t="s">
        <v>93</v>
      </c>
      <c r="B13" t="s">
        <v>25</v>
      </c>
      <c r="C13" t="s">
        <v>92</v>
      </c>
    </row>
    <row r="14" spans="1:3" x14ac:dyDescent="0.2">
      <c r="A14" s="1" t="s">
        <v>95</v>
      </c>
      <c r="B14" t="s">
        <v>25</v>
      </c>
      <c r="C14" t="s">
        <v>94</v>
      </c>
    </row>
    <row r="15" spans="1:3" x14ac:dyDescent="0.2">
      <c r="A15" s="1" t="s">
        <v>96</v>
      </c>
      <c r="B15" t="s">
        <v>9</v>
      </c>
      <c r="C15" t="s">
        <v>67</v>
      </c>
    </row>
    <row r="16" spans="1:3" x14ac:dyDescent="0.2">
      <c r="A16" s="1" t="s">
        <v>97</v>
      </c>
      <c r="B16" t="s">
        <v>11</v>
      </c>
      <c r="C16" t="s">
        <v>76</v>
      </c>
    </row>
    <row r="17" spans="1:3" x14ac:dyDescent="0.2">
      <c r="A17" s="1" t="s">
        <v>99</v>
      </c>
      <c r="B17" t="s">
        <v>29</v>
      </c>
      <c r="C17" t="s">
        <v>98</v>
      </c>
    </row>
    <row r="18" spans="1:3" x14ac:dyDescent="0.2">
      <c r="A18" s="1" t="s">
        <v>101</v>
      </c>
      <c r="B18" t="s">
        <v>21</v>
      </c>
      <c r="C18" t="s">
        <v>100</v>
      </c>
    </row>
    <row r="19" spans="1:3" x14ac:dyDescent="0.2">
      <c r="A19" s="1" t="s">
        <v>102</v>
      </c>
      <c r="B19" t="s">
        <v>131</v>
      </c>
      <c r="C19" t="s">
        <v>71</v>
      </c>
    </row>
    <row r="20" spans="1:3" x14ac:dyDescent="0.2">
      <c r="A20" s="1" t="s">
        <v>103</v>
      </c>
      <c r="B20" t="s">
        <v>28</v>
      </c>
      <c r="C20" t="s">
        <v>75</v>
      </c>
    </row>
    <row r="21" spans="1:3" x14ac:dyDescent="0.2">
      <c r="A21" s="1" t="s">
        <v>104</v>
      </c>
      <c r="B21" t="s">
        <v>13</v>
      </c>
      <c r="C21" t="s">
        <v>81</v>
      </c>
    </row>
    <row r="22" spans="1:3" x14ac:dyDescent="0.2">
      <c r="A22" s="1" t="s">
        <v>105</v>
      </c>
      <c r="B22" t="s">
        <v>14</v>
      </c>
      <c r="C22" t="s">
        <v>69</v>
      </c>
    </row>
    <row r="23" spans="1:3" x14ac:dyDescent="0.2">
      <c r="A23" s="1" t="s">
        <v>106</v>
      </c>
      <c r="B23" t="s">
        <v>133</v>
      </c>
      <c r="C23" t="s">
        <v>79</v>
      </c>
    </row>
    <row r="24" spans="1:3" x14ac:dyDescent="0.2">
      <c r="A24" s="1" t="s">
        <v>108</v>
      </c>
      <c r="B24" t="s">
        <v>130</v>
      </c>
      <c r="C24" t="s">
        <v>107</v>
      </c>
    </row>
    <row r="25" spans="1:3" x14ac:dyDescent="0.2">
      <c r="A25" s="1" t="s">
        <v>109</v>
      </c>
      <c r="B25" t="s">
        <v>35</v>
      </c>
      <c r="C25" t="s">
        <v>73</v>
      </c>
    </row>
    <row r="26" spans="1:3" x14ac:dyDescent="0.2">
      <c r="A26" s="1" t="s">
        <v>110</v>
      </c>
      <c r="B26" t="s">
        <v>2</v>
      </c>
      <c r="C26" t="s">
        <v>77</v>
      </c>
    </row>
    <row r="27" spans="1:3" x14ac:dyDescent="0.2">
      <c r="A27" s="1" t="s">
        <v>111</v>
      </c>
      <c r="B27" t="s">
        <v>10</v>
      </c>
      <c r="C27" t="s">
        <v>70</v>
      </c>
    </row>
    <row r="28" spans="1:3" x14ac:dyDescent="0.2">
      <c r="A28" s="1" t="s">
        <v>112</v>
      </c>
      <c r="B28" t="s">
        <v>20</v>
      </c>
      <c r="C28" t="s">
        <v>82</v>
      </c>
    </row>
    <row r="29" spans="1:3" x14ac:dyDescent="0.2">
      <c r="A29" s="1" t="s">
        <v>113</v>
      </c>
      <c r="B29" t="s">
        <v>7</v>
      </c>
      <c r="C29" t="s">
        <v>80</v>
      </c>
    </row>
    <row r="30" spans="1:3" x14ac:dyDescent="0.2">
      <c r="B30" s="1"/>
    </row>
    <row r="31" spans="1:3" x14ac:dyDescent="0.2">
      <c r="B3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A927-A2CD-487B-977D-489AA8E2D49E}">
  <dimension ref="A1:C2"/>
  <sheetViews>
    <sheetView workbookViewId="0">
      <selection activeCell="B37" sqref="B37"/>
    </sheetView>
  </sheetViews>
  <sheetFormatPr defaultColWidth="12.5703125" defaultRowHeight="12.75" x14ac:dyDescent="0.2"/>
  <cols>
    <col min="1" max="1" width="46" customWidth="1"/>
    <col min="2" max="2" width="25" customWidth="1"/>
    <col min="3" max="3" width="14.28515625" bestFit="1" customWidth="1"/>
  </cols>
  <sheetData>
    <row r="1" spans="1:3" x14ac:dyDescent="0.2">
      <c r="A1" s="14" t="s">
        <v>60</v>
      </c>
      <c r="B1" s="14" t="s">
        <v>61</v>
      </c>
      <c r="C1" s="14" t="s">
        <v>62</v>
      </c>
    </row>
    <row r="2" spans="1:3" x14ac:dyDescent="0.2">
      <c r="A2" s="10" t="s">
        <v>63</v>
      </c>
      <c r="B2" s="10" t="s">
        <v>64</v>
      </c>
      <c r="C2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B1C6-FC21-4EBA-AF41-EA0A75331254}">
  <dimension ref="A1:AH116"/>
  <sheetViews>
    <sheetView workbookViewId="0">
      <selection activeCell="J8" sqref="J8"/>
    </sheetView>
  </sheetViews>
  <sheetFormatPr defaultRowHeight="12.75" x14ac:dyDescent="0.2"/>
  <cols>
    <col min="1" max="1" width="38" customWidth="1"/>
    <col min="2" max="2" width="22" customWidth="1"/>
    <col min="3" max="3" width="32.42578125" customWidth="1"/>
    <col min="4" max="4" width="45.28515625" customWidth="1"/>
    <col min="5" max="6" width="17.42578125" customWidth="1"/>
    <col min="7" max="7" width="47.7109375" customWidth="1"/>
  </cols>
  <sheetData>
    <row r="1" spans="1:34" ht="30.75" thickBot="1" x14ac:dyDescent="0.25">
      <c r="A1" s="17" t="s">
        <v>116</v>
      </c>
      <c r="B1" s="18" t="s">
        <v>117</v>
      </c>
      <c r="C1" s="18" t="s">
        <v>118</v>
      </c>
      <c r="D1" s="18" t="s">
        <v>119</v>
      </c>
      <c r="E1" s="18" t="s">
        <v>120</v>
      </c>
      <c r="F1" s="19" t="s">
        <v>121</v>
      </c>
      <c r="G1" s="18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</row>
    <row r="2" spans="1:34" ht="15.75" thickBot="1" x14ac:dyDescent="0.3">
      <c r="A2" s="24"/>
      <c r="B2" s="13"/>
      <c r="C2" s="11"/>
      <c r="D2" s="11"/>
      <c r="E2" s="21"/>
      <c r="F2" s="21"/>
      <c r="G2" s="13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 spans="1:34" ht="15.75" thickBot="1" x14ac:dyDescent="0.25">
      <c r="A3" s="24"/>
      <c r="B3" s="13"/>
      <c r="C3" s="23"/>
      <c r="D3" s="15"/>
      <c r="E3" s="13"/>
      <c r="F3" s="21"/>
      <c r="G3" s="13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</row>
    <row r="4" spans="1:34" ht="75.75" thickBot="1" x14ac:dyDescent="0.25">
      <c r="A4" s="16" t="s">
        <v>114</v>
      </c>
      <c r="B4" s="13" t="s">
        <v>115</v>
      </c>
      <c r="C4" s="13" t="s">
        <v>65</v>
      </c>
      <c r="D4" s="13" t="s">
        <v>83</v>
      </c>
      <c r="E4" s="13">
        <v>0</v>
      </c>
      <c r="F4" s="13"/>
      <c r="G4" s="13" t="s">
        <v>122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spans="1:34" ht="16.5" thickBot="1" x14ac:dyDescent="0.3">
      <c r="A5" s="16" t="s">
        <v>114</v>
      </c>
      <c r="B5" s="11" t="s">
        <v>115</v>
      </c>
      <c r="C5" s="11" t="s">
        <v>64</v>
      </c>
      <c r="D5" s="12" t="s">
        <v>84</v>
      </c>
      <c r="E5" s="13">
        <v>0</v>
      </c>
      <c r="F5" s="13"/>
      <c r="G5" s="13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</row>
    <row r="6" spans="1:34" ht="15.75" thickBot="1" x14ac:dyDescent="0.3">
      <c r="A6" s="16" t="s">
        <v>114</v>
      </c>
      <c r="B6" s="11" t="s">
        <v>115</v>
      </c>
      <c r="C6" s="11" t="s">
        <v>66</v>
      </c>
      <c r="D6" s="13" t="s">
        <v>85</v>
      </c>
      <c r="E6" s="13">
        <v>0</v>
      </c>
      <c r="F6" s="13"/>
      <c r="G6" s="13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spans="1:34" ht="15.75" thickBot="1" x14ac:dyDescent="0.3">
      <c r="A7" s="16" t="s">
        <v>114</v>
      </c>
      <c r="B7" s="11" t="s">
        <v>115</v>
      </c>
      <c r="C7" s="13" t="s">
        <v>68</v>
      </c>
      <c r="D7" s="13" t="s">
        <v>86</v>
      </c>
      <c r="E7" s="13">
        <v>0</v>
      </c>
      <c r="F7" s="13"/>
      <c r="G7" s="13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spans="1:34" ht="15.75" thickBot="1" x14ac:dyDescent="0.3">
      <c r="A8" s="16" t="s">
        <v>114</v>
      </c>
      <c r="B8" s="11" t="s">
        <v>115</v>
      </c>
      <c r="C8" s="13" t="s">
        <v>78</v>
      </c>
      <c r="D8" s="13" t="s">
        <v>87</v>
      </c>
      <c r="E8" s="13">
        <v>0</v>
      </c>
      <c r="F8" s="21"/>
      <c r="G8" s="13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5.75" thickBot="1" x14ac:dyDescent="0.25">
      <c r="A9" s="16" t="s">
        <v>114</v>
      </c>
      <c r="B9" s="13" t="s">
        <v>115</v>
      </c>
      <c r="C9" s="13" t="s">
        <v>88</v>
      </c>
      <c r="D9" s="13" t="s">
        <v>89</v>
      </c>
      <c r="E9" s="13">
        <v>0</v>
      </c>
      <c r="F9" s="13"/>
      <c r="G9" s="13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5.75" thickBot="1" x14ac:dyDescent="0.3">
      <c r="A10" s="16" t="s">
        <v>114</v>
      </c>
      <c r="B10" s="13" t="s">
        <v>115</v>
      </c>
      <c r="C10" s="11" t="s">
        <v>72</v>
      </c>
      <c r="D10" s="13" t="s">
        <v>90</v>
      </c>
      <c r="E10" s="13">
        <v>0</v>
      </c>
      <c r="F10" s="13"/>
      <c r="G10" s="13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5.75" thickBot="1" x14ac:dyDescent="0.3">
      <c r="A11" s="16" t="s">
        <v>114</v>
      </c>
      <c r="B11" s="13" t="s">
        <v>115</v>
      </c>
      <c r="C11" s="11" t="s">
        <v>74</v>
      </c>
      <c r="D11" s="13" t="s">
        <v>91</v>
      </c>
      <c r="E11" s="13">
        <v>0</v>
      </c>
      <c r="F11" s="13"/>
      <c r="G11" s="13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5.75" thickBot="1" x14ac:dyDescent="0.3">
      <c r="A12" s="16" t="s">
        <v>114</v>
      </c>
      <c r="B12" s="13" t="s">
        <v>115</v>
      </c>
      <c r="C12" s="11" t="s">
        <v>92</v>
      </c>
      <c r="D12" s="13" t="s">
        <v>93</v>
      </c>
      <c r="E12" s="13">
        <v>0</v>
      </c>
      <c r="F12" s="13"/>
      <c r="G12" s="13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spans="1:34" ht="15.75" thickBot="1" x14ac:dyDescent="0.3">
      <c r="A13" s="16" t="s">
        <v>114</v>
      </c>
      <c r="B13" s="11" t="s">
        <v>115</v>
      </c>
      <c r="C13" s="11" t="s">
        <v>94</v>
      </c>
      <c r="D13" s="13" t="s">
        <v>95</v>
      </c>
      <c r="E13" s="13">
        <v>0</v>
      </c>
      <c r="F13" s="13"/>
      <c r="G13" s="13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spans="1:34" ht="15.75" thickBot="1" x14ac:dyDescent="0.3">
      <c r="A14" s="16" t="s">
        <v>114</v>
      </c>
      <c r="B14" s="13" t="s">
        <v>115</v>
      </c>
      <c r="C14" s="11" t="s">
        <v>67</v>
      </c>
      <c r="D14" s="13" t="s">
        <v>96</v>
      </c>
      <c r="E14" s="13">
        <v>0</v>
      </c>
      <c r="F14" s="13"/>
      <c r="G14" s="13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spans="1:34" ht="15.75" thickBot="1" x14ac:dyDescent="0.3">
      <c r="A15" s="16" t="s">
        <v>114</v>
      </c>
      <c r="B15" s="13" t="s">
        <v>115</v>
      </c>
      <c r="C15" s="11" t="s">
        <v>76</v>
      </c>
      <c r="D15" s="11" t="s">
        <v>97</v>
      </c>
      <c r="E15" s="13">
        <v>0</v>
      </c>
      <c r="F15" s="13"/>
      <c r="G15" s="13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34" ht="15.75" thickBot="1" x14ac:dyDescent="0.3">
      <c r="A16" s="16" t="s">
        <v>114</v>
      </c>
      <c r="B16" s="13" t="s">
        <v>115</v>
      </c>
      <c r="C16" s="11" t="s">
        <v>98</v>
      </c>
      <c r="D16" s="13" t="s">
        <v>99</v>
      </c>
      <c r="E16" s="13">
        <v>0</v>
      </c>
      <c r="F16" s="13"/>
      <c r="G16" s="13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1:34" ht="15.75" thickBot="1" x14ac:dyDescent="0.3">
      <c r="A17" s="16" t="s">
        <v>114</v>
      </c>
      <c r="B17" s="13" t="s">
        <v>115</v>
      </c>
      <c r="C17" s="11" t="s">
        <v>100</v>
      </c>
      <c r="D17" s="13" t="s">
        <v>101</v>
      </c>
      <c r="E17" s="13">
        <v>0</v>
      </c>
      <c r="F17" s="13"/>
      <c r="G17" s="13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 spans="1:34" ht="15.75" thickBot="1" x14ac:dyDescent="0.3">
      <c r="A18" s="16" t="s">
        <v>114</v>
      </c>
      <c r="B18" s="13" t="s">
        <v>115</v>
      </c>
      <c r="C18" s="11" t="s">
        <v>71</v>
      </c>
      <c r="D18" s="13" t="s">
        <v>102</v>
      </c>
      <c r="E18" s="13">
        <v>0</v>
      </c>
      <c r="F18" s="13"/>
      <c r="G18" s="13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spans="1:34" ht="15.75" thickBot="1" x14ac:dyDescent="0.3">
      <c r="A19" s="16" t="s">
        <v>114</v>
      </c>
      <c r="B19" s="13" t="s">
        <v>115</v>
      </c>
      <c r="C19" s="11" t="s">
        <v>75</v>
      </c>
      <c r="D19" s="13" t="s">
        <v>103</v>
      </c>
      <c r="E19" s="13">
        <v>0</v>
      </c>
      <c r="F19" s="13"/>
      <c r="G19" s="13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spans="1:34" ht="15.75" thickBot="1" x14ac:dyDescent="0.3">
      <c r="A20" s="16" t="s">
        <v>114</v>
      </c>
      <c r="B20" s="13" t="s">
        <v>115</v>
      </c>
      <c r="C20" s="11" t="s">
        <v>81</v>
      </c>
      <c r="D20" s="13" t="s">
        <v>104</v>
      </c>
      <c r="E20" s="13">
        <v>0</v>
      </c>
      <c r="F20" s="21"/>
      <c r="G20" s="13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spans="1:34" ht="15.75" thickBot="1" x14ac:dyDescent="0.3">
      <c r="A21" s="16" t="s">
        <v>114</v>
      </c>
      <c r="B21" s="13" t="s">
        <v>115</v>
      </c>
      <c r="C21" s="11" t="s">
        <v>69</v>
      </c>
      <c r="D21" s="13" t="s">
        <v>105</v>
      </c>
      <c r="E21" s="13">
        <v>0</v>
      </c>
      <c r="F21" s="13"/>
      <c r="G21" s="13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 spans="1:34" ht="15.75" thickBot="1" x14ac:dyDescent="0.3">
      <c r="A22" s="16" t="s">
        <v>114</v>
      </c>
      <c r="B22" s="11" t="s">
        <v>115</v>
      </c>
      <c r="C22" s="11" t="s">
        <v>79</v>
      </c>
      <c r="D22" s="13" t="s">
        <v>106</v>
      </c>
      <c r="E22" s="13">
        <v>0</v>
      </c>
      <c r="F22" s="13"/>
      <c r="G22" s="13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spans="1:34" ht="15.75" thickBot="1" x14ac:dyDescent="0.3">
      <c r="A23" s="16" t="s">
        <v>114</v>
      </c>
      <c r="B23" s="11" t="s">
        <v>115</v>
      </c>
      <c r="C23" s="11" t="s">
        <v>107</v>
      </c>
      <c r="D23" s="13" t="s">
        <v>108</v>
      </c>
      <c r="E23" s="13">
        <v>0</v>
      </c>
      <c r="F23" s="13"/>
      <c r="G23" s="13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 spans="1:34" ht="15.75" thickBot="1" x14ac:dyDescent="0.3">
      <c r="A24" s="16" t="s">
        <v>114</v>
      </c>
      <c r="B24" s="11" t="s">
        <v>115</v>
      </c>
      <c r="C24" s="11" t="s">
        <v>73</v>
      </c>
      <c r="D24" s="13" t="s">
        <v>109</v>
      </c>
      <c r="E24" s="13">
        <v>0</v>
      </c>
      <c r="F24" s="13"/>
      <c r="G24" s="13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spans="1:34" ht="15.75" thickBot="1" x14ac:dyDescent="0.3">
      <c r="A25" s="16" t="s">
        <v>114</v>
      </c>
      <c r="B25" s="11" t="s">
        <v>115</v>
      </c>
      <c r="C25" s="11" t="s">
        <v>77</v>
      </c>
      <c r="D25" s="13" t="s">
        <v>110</v>
      </c>
      <c r="E25" s="13">
        <v>0</v>
      </c>
      <c r="F25" s="21"/>
      <c r="G25" s="13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 spans="1:34" ht="15.75" thickBot="1" x14ac:dyDescent="0.3">
      <c r="A26" s="16" t="s">
        <v>114</v>
      </c>
      <c r="B26" s="13" t="s">
        <v>115</v>
      </c>
      <c r="C26" s="11" t="s">
        <v>70</v>
      </c>
      <c r="D26" s="13" t="s">
        <v>111</v>
      </c>
      <c r="E26" s="13">
        <v>0</v>
      </c>
      <c r="F26" s="13"/>
      <c r="G26" s="13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spans="1:34" ht="15.75" thickBot="1" x14ac:dyDescent="0.3">
      <c r="A27" s="16" t="s">
        <v>114</v>
      </c>
      <c r="B27" s="13" t="s">
        <v>115</v>
      </c>
      <c r="C27" s="11" t="s">
        <v>82</v>
      </c>
      <c r="D27" s="13" t="s">
        <v>112</v>
      </c>
      <c r="E27" s="13">
        <v>0</v>
      </c>
      <c r="F27" s="13"/>
      <c r="G27" s="13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 spans="1:34" ht="15.75" thickBot="1" x14ac:dyDescent="0.3">
      <c r="A28" s="16" t="s">
        <v>114</v>
      </c>
      <c r="B28" s="13" t="s">
        <v>115</v>
      </c>
      <c r="C28" s="11" t="s">
        <v>80</v>
      </c>
      <c r="D28" s="11" t="s">
        <v>113</v>
      </c>
      <c r="E28" s="13">
        <v>0</v>
      </c>
      <c r="F28" s="21"/>
      <c r="G28" s="13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 spans="1:34" ht="15.75" thickBot="1" x14ac:dyDescent="0.25">
      <c r="A29" s="16" t="s">
        <v>123</v>
      </c>
      <c r="B29" s="13" t="s">
        <v>115</v>
      </c>
      <c r="C29" s="13" t="s">
        <v>65</v>
      </c>
      <c r="D29" s="13" t="s">
        <v>83</v>
      </c>
      <c r="E29" s="13">
        <v>0</v>
      </c>
      <c r="F29" s="13"/>
      <c r="G29" s="13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 spans="1:34" ht="15.75" thickBot="1" x14ac:dyDescent="0.3">
      <c r="A30" s="16" t="s">
        <v>123</v>
      </c>
      <c r="B30" s="11" t="s">
        <v>115</v>
      </c>
      <c r="C30" s="11" t="s">
        <v>64</v>
      </c>
      <c r="D30" s="13" t="s">
        <v>84</v>
      </c>
      <c r="E30" s="13">
        <v>0</v>
      </c>
      <c r="F30" s="13"/>
      <c r="G30" s="13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 spans="1:34" ht="15.75" thickBot="1" x14ac:dyDescent="0.3">
      <c r="A31" s="16" t="s">
        <v>123</v>
      </c>
      <c r="B31" s="11" t="s">
        <v>115</v>
      </c>
      <c r="C31" s="11" t="s">
        <v>66</v>
      </c>
      <c r="D31" s="13" t="s">
        <v>85</v>
      </c>
      <c r="E31" s="13">
        <v>0</v>
      </c>
      <c r="F31" s="13"/>
      <c r="G31" s="13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 spans="1:34" ht="15.75" thickBot="1" x14ac:dyDescent="0.3">
      <c r="A32" s="16" t="s">
        <v>123</v>
      </c>
      <c r="B32" s="11" t="s">
        <v>115</v>
      </c>
      <c r="C32" s="13" t="s">
        <v>68</v>
      </c>
      <c r="D32" s="13" t="s">
        <v>86</v>
      </c>
      <c r="E32" s="13">
        <v>0</v>
      </c>
      <c r="F32" s="13"/>
      <c r="G32" s="13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spans="1:34" ht="15.75" thickBot="1" x14ac:dyDescent="0.3">
      <c r="A33" s="16" t="s">
        <v>123</v>
      </c>
      <c r="B33" s="11" t="s">
        <v>115</v>
      </c>
      <c r="C33" s="13" t="s">
        <v>78</v>
      </c>
      <c r="D33" s="13" t="s">
        <v>87</v>
      </c>
      <c r="E33" s="13">
        <v>0</v>
      </c>
      <c r="F33" s="13"/>
      <c r="G33" s="13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 spans="1:34" ht="15.75" thickBot="1" x14ac:dyDescent="0.25">
      <c r="A34" s="16" t="s">
        <v>123</v>
      </c>
      <c r="B34" s="13" t="s">
        <v>115</v>
      </c>
      <c r="C34" s="13" t="s">
        <v>88</v>
      </c>
      <c r="D34" s="13" t="s">
        <v>89</v>
      </c>
      <c r="E34" s="13">
        <v>0</v>
      </c>
      <c r="F34" s="13"/>
      <c r="G34" s="13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spans="1:34" ht="15.75" thickBot="1" x14ac:dyDescent="0.3">
      <c r="A35" s="16" t="s">
        <v>123</v>
      </c>
      <c r="B35" s="13" t="s">
        <v>115</v>
      </c>
      <c r="C35" s="11" t="s">
        <v>72</v>
      </c>
      <c r="D35" s="13" t="s">
        <v>90</v>
      </c>
      <c r="E35" s="13">
        <v>0</v>
      </c>
      <c r="F35" s="21"/>
      <c r="G35" s="13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spans="1:34" ht="15.75" thickBot="1" x14ac:dyDescent="0.3">
      <c r="A36" s="16" t="s">
        <v>123</v>
      </c>
      <c r="B36" s="13" t="s">
        <v>115</v>
      </c>
      <c r="C36" s="11" t="s">
        <v>74</v>
      </c>
      <c r="D36" s="13" t="s">
        <v>91</v>
      </c>
      <c r="E36" s="13">
        <v>0</v>
      </c>
      <c r="F36" s="13"/>
      <c r="G36" s="13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spans="1:34" ht="15.75" thickBot="1" x14ac:dyDescent="0.3">
      <c r="A37" s="16" t="s">
        <v>123</v>
      </c>
      <c r="B37" s="13" t="s">
        <v>115</v>
      </c>
      <c r="C37" s="11" t="s">
        <v>92</v>
      </c>
      <c r="D37" s="13" t="s">
        <v>93</v>
      </c>
      <c r="E37" s="13">
        <v>0</v>
      </c>
      <c r="F37" s="13"/>
      <c r="G37" s="13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spans="1:34" ht="15.75" thickBot="1" x14ac:dyDescent="0.3">
      <c r="A38" s="16" t="s">
        <v>123</v>
      </c>
      <c r="B38" s="11" t="s">
        <v>115</v>
      </c>
      <c r="C38" s="11" t="s">
        <v>94</v>
      </c>
      <c r="D38" s="13" t="s">
        <v>95</v>
      </c>
      <c r="E38" s="13">
        <v>0</v>
      </c>
      <c r="F38" s="13"/>
      <c r="G38" s="13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spans="1:34" ht="15.75" thickBot="1" x14ac:dyDescent="0.3">
      <c r="A39" s="16" t="s">
        <v>123</v>
      </c>
      <c r="B39" s="13" t="s">
        <v>115</v>
      </c>
      <c r="C39" s="11" t="s">
        <v>67</v>
      </c>
      <c r="D39" s="13" t="s">
        <v>96</v>
      </c>
      <c r="E39" s="13">
        <v>0</v>
      </c>
      <c r="F39" s="13"/>
      <c r="G39" s="13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spans="1:34" ht="15.75" thickBot="1" x14ac:dyDescent="0.3">
      <c r="A40" s="16" t="s">
        <v>123</v>
      </c>
      <c r="B40" s="13" t="s">
        <v>115</v>
      </c>
      <c r="C40" s="11" t="s">
        <v>76</v>
      </c>
      <c r="D40" s="13" t="s">
        <v>97</v>
      </c>
      <c r="E40" s="13">
        <v>0</v>
      </c>
      <c r="F40" s="13"/>
      <c r="G40" s="13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spans="1:34" ht="15.75" thickBot="1" x14ac:dyDescent="0.3">
      <c r="A41" s="16" t="s">
        <v>123</v>
      </c>
      <c r="B41" s="13" t="s">
        <v>115</v>
      </c>
      <c r="C41" s="11" t="s">
        <v>98</v>
      </c>
      <c r="D41" s="13" t="s">
        <v>99</v>
      </c>
      <c r="E41" s="13">
        <v>0</v>
      </c>
      <c r="F41" s="13"/>
      <c r="G41" s="13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 spans="1:34" ht="15.75" thickBot="1" x14ac:dyDescent="0.3">
      <c r="A42" s="16" t="s">
        <v>123</v>
      </c>
      <c r="B42" s="13" t="s">
        <v>115</v>
      </c>
      <c r="C42" s="11" t="s">
        <v>100</v>
      </c>
      <c r="D42" s="13" t="s">
        <v>101</v>
      </c>
      <c r="E42" s="13">
        <v>0</v>
      </c>
      <c r="F42" s="13"/>
      <c r="G42" s="13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</row>
    <row r="43" spans="1:34" ht="15.75" thickBot="1" x14ac:dyDescent="0.3">
      <c r="A43" s="16" t="s">
        <v>123</v>
      </c>
      <c r="B43" s="13" t="s">
        <v>115</v>
      </c>
      <c r="C43" s="11" t="s">
        <v>71</v>
      </c>
      <c r="D43" s="13" t="s">
        <v>102</v>
      </c>
      <c r="E43" s="13">
        <v>0</v>
      </c>
      <c r="F43" s="13"/>
      <c r="G43" s="13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</row>
    <row r="44" spans="1:34" ht="15.75" thickBot="1" x14ac:dyDescent="0.3">
      <c r="A44" s="16" t="s">
        <v>123</v>
      </c>
      <c r="B44" s="13" t="s">
        <v>115</v>
      </c>
      <c r="C44" s="11" t="s">
        <v>75</v>
      </c>
      <c r="D44" s="13" t="s">
        <v>103</v>
      </c>
      <c r="E44" s="13">
        <v>0</v>
      </c>
      <c r="F44" s="21"/>
      <c r="G44" s="13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spans="1:34" ht="15.75" thickBot="1" x14ac:dyDescent="0.3">
      <c r="A45" s="16" t="s">
        <v>123</v>
      </c>
      <c r="B45" s="13" t="s">
        <v>115</v>
      </c>
      <c r="C45" s="11" t="s">
        <v>81</v>
      </c>
      <c r="D45" s="13" t="s">
        <v>104</v>
      </c>
      <c r="E45" s="13">
        <v>0</v>
      </c>
      <c r="F45" s="13"/>
      <c r="G45" s="13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4" ht="15.75" thickBot="1" x14ac:dyDescent="0.3">
      <c r="A46" s="16" t="s">
        <v>123</v>
      </c>
      <c r="B46" s="13" t="s">
        <v>115</v>
      </c>
      <c r="C46" s="11" t="s">
        <v>69</v>
      </c>
      <c r="D46" s="13" t="s">
        <v>105</v>
      </c>
      <c r="E46" s="13">
        <v>0</v>
      </c>
      <c r="F46" s="21"/>
      <c r="G46" s="13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4" ht="15.75" thickBot="1" x14ac:dyDescent="0.3">
      <c r="A47" s="16" t="s">
        <v>123</v>
      </c>
      <c r="B47" s="11" t="s">
        <v>115</v>
      </c>
      <c r="C47" s="11" t="s">
        <v>79</v>
      </c>
      <c r="D47" s="13" t="s">
        <v>106</v>
      </c>
      <c r="E47" s="13">
        <v>0</v>
      </c>
      <c r="F47" s="21"/>
      <c r="G47" s="13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4" ht="15.75" thickBot="1" x14ac:dyDescent="0.3">
      <c r="A48" s="16" t="s">
        <v>123</v>
      </c>
      <c r="B48" s="11" t="s">
        <v>115</v>
      </c>
      <c r="C48" s="11" t="s">
        <v>107</v>
      </c>
      <c r="D48" s="13" t="s">
        <v>108</v>
      </c>
      <c r="E48" s="13">
        <v>0</v>
      </c>
      <c r="F48" s="13"/>
      <c r="G48" s="13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1:34" ht="15.75" thickBot="1" x14ac:dyDescent="0.3">
      <c r="A49" s="16" t="s">
        <v>123</v>
      </c>
      <c r="B49" s="11" t="s">
        <v>115</v>
      </c>
      <c r="C49" s="11" t="s">
        <v>73</v>
      </c>
      <c r="D49" s="13" t="s">
        <v>109</v>
      </c>
      <c r="E49" s="13">
        <v>0</v>
      </c>
      <c r="F49" s="13"/>
      <c r="G49" s="13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1:34" ht="15.75" thickBot="1" x14ac:dyDescent="0.3">
      <c r="A50" s="16" t="s">
        <v>123</v>
      </c>
      <c r="B50" s="11" t="s">
        <v>115</v>
      </c>
      <c r="C50" s="11" t="s">
        <v>77</v>
      </c>
      <c r="D50" s="13" t="s">
        <v>110</v>
      </c>
      <c r="E50" s="13">
        <v>0</v>
      </c>
      <c r="F50" s="13"/>
      <c r="G50" s="13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 ht="15.75" thickBot="1" x14ac:dyDescent="0.3">
      <c r="A51" s="16" t="s">
        <v>123</v>
      </c>
      <c r="B51" s="13" t="s">
        <v>115</v>
      </c>
      <c r="C51" s="11" t="s">
        <v>70</v>
      </c>
      <c r="D51" s="13" t="s">
        <v>111</v>
      </c>
      <c r="E51" s="13">
        <v>0</v>
      </c>
      <c r="F51" s="13"/>
      <c r="G51" s="13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1:34" ht="15.75" thickBot="1" x14ac:dyDescent="0.3">
      <c r="A52" s="16" t="s">
        <v>123</v>
      </c>
      <c r="B52" s="13" t="s">
        <v>115</v>
      </c>
      <c r="C52" s="11" t="s">
        <v>82</v>
      </c>
      <c r="D52" s="13" t="s">
        <v>112</v>
      </c>
      <c r="E52" s="13">
        <v>0</v>
      </c>
      <c r="F52" s="13"/>
      <c r="G52" s="13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1:34" ht="15.75" thickBot="1" x14ac:dyDescent="0.3">
      <c r="A53" s="16" t="s">
        <v>123</v>
      </c>
      <c r="B53" s="13" t="s">
        <v>115</v>
      </c>
      <c r="C53" s="11" t="s">
        <v>80</v>
      </c>
      <c r="D53" s="11" t="s">
        <v>113</v>
      </c>
      <c r="E53" s="13">
        <v>0</v>
      </c>
      <c r="F53" s="13"/>
      <c r="G53" s="13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1:34" ht="15.75" thickBot="1" x14ac:dyDescent="0.25">
      <c r="A54" s="16" t="s">
        <v>124</v>
      </c>
      <c r="B54" s="13" t="s">
        <v>115</v>
      </c>
      <c r="C54" s="13" t="s">
        <v>65</v>
      </c>
      <c r="D54" s="13" t="s">
        <v>83</v>
      </c>
      <c r="E54" s="13">
        <v>0</v>
      </c>
      <c r="F54" s="13"/>
      <c r="G54" s="13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1:34" ht="16.5" thickBot="1" x14ac:dyDescent="0.3">
      <c r="A55" s="16" t="s">
        <v>124</v>
      </c>
      <c r="B55" s="11" t="s">
        <v>115</v>
      </c>
      <c r="C55" s="11" t="s">
        <v>64</v>
      </c>
      <c r="D55" s="25" t="s">
        <v>84</v>
      </c>
      <c r="E55" s="13">
        <v>0</v>
      </c>
      <c r="F55" s="13"/>
      <c r="G55" s="13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spans="1:34" ht="15.75" thickBot="1" x14ac:dyDescent="0.3">
      <c r="A56" s="16" t="s">
        <v>124</v>
      </c>
      <c r="B56" s="11" t="s">
        <v>115</v>
      </c>
      <c r="C56" s="11" t="s">
        <v>66</v>
      </c>
      <c r="D56" s="13" t="s">
        <v>85</v>
      </c>
      <c r="E56" s="13">
        <v>0</v>
      </c>
      <c r="F56" s="13"/>
      <c r="G56" s="13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1:34" ht="15.75" thickBot="1" x14ac:dyDescent="0.3">
      <c r="A57" s="16" t="s">
        <v>124</v>
      </c>
      <c r="B57" s="11" t="s">
        <v>115</v>
      </c>
      <c r="C57" s="13" t="s">
        <v>68</v>
      </c>
      <c r="D57" s="13" t="s">
        <v>86</v>
      </c>
      <c r="E57" s="13">
        <v>0</v>
      </c>
      <c r="F57" s="13"/>
      <c r="G57" s="13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1:34" ht="15.75" thickBot="1" x14ac:dyDescent="0.3">
      <c r="A58" s="16" t="s">
        <v>124</v>
      </c>
      <c r="B58" s="11" t="s">
        <v>115</v>
      </c>
      <c r="C58" s="13" t="s">
        <v>78</v>
      </c>
      <c r="D58" s="13" t="s">
        <v>87</v>
      </c>
      <c r="E58" s="13">
        <v>0</v>
      </c>
      <c r="F58" s="13"/>
      <c r="G58" s="13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1:34" ht="15.75" thickBot="1" x14ac:dyDescent="0.3">
      <c r="A59" s="16" t="s">
        <v>124</v>
      </c>
      <c r="B59" s="13" t="s">
        <v>115</v>
      </c>
      <c r="C59" s="13" t="s">
        <v>88</v>
      </c>
      <c r="D59" s="11" t="s">
        <v>89</v>
      </c>
      <c r="E59" s="13">
        <v>0</v>
      </c>
      <c r="F59" s="13"/>
      <c r="G59" s="13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1:34" ht="15.75" thickBot="1" x14ac:dyDescent="0.3">
      <c r="A60" s="16" t="s">
        <v>124</v>
      </c>
      <c r="B60" s="13" t="s">
        <v>115</v>
      </c>
      <c r="C60" s="11" t="s">
        <v>72</v>
      </c>
      <c r="D60" s="13" t="s">
        <v>90</v>
      </c>
      <c r="E60" s="13">
        <v>0</v>
      </c>
      <c r="F60" s="13"/>
      <c r="G60" s="13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1:34" ht="15.75" thickBot="1" x14ac:dyDescent="0.3">
      <c r="A61" s="16" t="s">
        <v>124</v>
      </c>
      <c r="B61" s="13" t="s">
        <v>115</v>
      </c>
      <c r="C61" s="11" t="s">
        <v>74</v>
      </c>
      <c r="D61" s="13" t="s">
        <v>91</v>
      </c>
      <c r="E61" s="13">
        <v>0</v>
      </c>
      <c r="F61" s="13"/>
      <c r="G61" s="13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1:34" ht="15.75" thickBot="1" x14ac:dyDescent="0.3">
      <c r="A62" s="16" t="s">
        <v>124</v>
      </c>
      <c r="B62" s="13" t="s">
        <v>115</v>
      </c>
      <c r="C62" s="11" t="s">
        <v>92</v>
      </c>
      <c r="D62" s="13" t="s">
        <v>93</v>
      </c>
      <c r="E62" s="13">
        <v>0</v>
      </c>
      <c r="F62" s="13"/>
      <c r="G62" s="13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1:34" ht="15.75" thickBot="1" x14ac:dyDescent="0.3">
      <c r="A63" s="16" t="s">
        <v>124</v>
      </c>
      <c r="B63" s="11" t="s">
        <v>115</v>
      </c>
      <c r="C63" s="11" t="s">
        <v>94</v>
      </c>
      <c r="D63" s="13" t="s">
        <v>95</v>
      </c>
      <c r="E63" s="13">
        <v>0</v>
      </c>
      <c r="F63" s="13"/>
      <c r="G63" s="13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1:34" ht="15.75" thickBot="1" x14ac:dyDescent="0.3">
      <c r="A64" s="16" t="s">
        <v>124</v>
      </c>
      <c r="B64" s="13" t="s">
        <v>115</v>
      </c>
      <c r="C64" s="11" t="s">
        <v>67</v>
      </c>
      <c r="D64" s="13" t="s">
        <v>96</v>
      </c>
      <c r="E64" s="13">
        <v>0</v>
      </c>
      <c r="F64" s="13"/>
      <c r="G64" s="13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1:34" ht="15.75" thickBot="1" x14ac:dyDescent="0.3">
      <c r="A65" s="16" t="s">
        <v>124</v>
      </c>
      <c r="B65" s="13" t="s">
        <v>115</v>
      </c>
      <c r="C65" s="11" t="s">
        <v>76</v>
      </c>
      <c r="D65" s="13" t="s">
        <v>97</v>
      </c>
      <c r="E65" s="13">
        <v>0</v>
      </c>
      <c r="F65" s="13"/>
      <c r="G65" s="13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spans="1:34" ht="15.75" thickBot="1" x14ac:dyDescent="0.3">
      <c r="A66" s="16" t="s">
        <v>124</v>
      </c>
      <c r="B66" s="13" t="s">
        <v>115</v>
      </c>
      <c r="C66" s="11" t="s">
        <v>98</v>
      </c>
      <c r="D66" s="11" t="s">
        <v>99</v>
      </c>
      <c r="E66" s="13">
        <v>0</v>
      </c>
      <c r="F66" s="13"/>
      <c r="G66" s="13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1:34" ht="15.75" thickBot="1" x14ac:dyDescent="0.3">
      <c r="A67" s="16" t="s">
        <v>124</v>
      </c>
      <c r="B67" s="13" t="s">
        <v>115</v>
      </c>
      <c r="C67" s="11" t="s">
        <v>100</v>
      </c>
      <c r="D67" s="11" t="s">
        <v>101</v>
      </c>
      <c r="E67" s="13">
        <v>0</v>
      </c>
      <c r="F67" s="13"/>
      <c r="G67" s="13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spans="1:34" ht="15.75" thickBot="1" x14ac:dyDescent="0.3">
      <c r="A68" s="16" t="s">
        <v>124</v>
      </c>
      <c r="B68" s="13" t="s">
        <v>115</v>
      </c>
      <c r="C68" s="11" t="s">
        <v>71</v>
      </c>
      <c r="D68" s="13" t="s">
        <v>102</v>
      </c>
      <c r="E68" s="13">
        <v>0</v>
      </c>
      <c r="F68" s="13"/>
      <c r="G68" s="13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1:34" ht="15.75" thickBot="1" x14ac:dyDescent="0.3">
      <c r="A69" s="16" t="s">
        <v>124</v>
      </c>
      <c r="B69" s="13" t="s">
        <v>115</v>
      </c>
      <c r="C69" s="11" t="s">
        <v>75</v>
      </c>
      <c r="D69" s="13" t="s">
        <v>103</v>
      </c>
      <c r="E69" s="13">
        <v>0</v>
      </c>
      <c r="F69" s="13"/>
      <c r="G69" s="13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1:34" ht="15.75" thickBot="1" x14ac:dyDescent="0.3">
      <c r="A70" s="16" t="s">
        <v>124</v>
      </c>
      <c r="B70" s="13" t="s">
        <v>115</v>
      </c>
      <c r="C70" s="11" t="s">
        <v>81</v>
      </c>
      <c r="D70" s="22" t="s">
        <v>104</v>
      </c>
      <c r="E70" s="13">
        <v>0</v>
      </c>
      <c r="F70" s="13"/>
      <c r="G70" s="13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1:34" ht="15.75" thickBot="1" x14ac:dyDescent="0.3">
      <c r="A71" s="16" t="s">
        <v>124</v>
      </c>
      <c r="B71" s="13" t="s">
        <v>115</v>
      </c>
      <c r="C71" s="11" t="s">
        <v>69</v>
      </c>
      <c r="D71" s="13" t="s">
        <v>105</v>
      </c>
      <c r="E71" s="13">
        <v>0</v>
      </c>
      <c r="F71" s="13"/>
      <c r="G71" s="13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1:34" ht="15.75" thickBot="1" x14ac:dyDescent="0.3">
      <c r="A72" s="16" t="s">
        <v>124</v>
      </c>
      <c r="B72" s="11" t="s">
        <v>115</v>
      </c>
      <c r="C72" s="11" t="s">
        <v>79</v>
      </c>
      <c r="D72" s="11" t="s">
        <v>106</v>
      </c>
      <c r="E72" s="13">
        <v>0</v>
      </c>
      <c r="F72" s="13"/>
      <c r="G72" s="13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1:34" ht="15.75" thickBot="1" x14ac:dyDescent="0.3">
      <c r="A73" s="16" t="s">
        <v>124</v>
      </c>
      <c r="B73" s="11" t="s">
        <v>115</v>
      </c>
      <c r="C73" s="11" t="s">
        <v>107</v>
      </c>
      <c r="D73" s="11" t="s">
        <v>108</v>
      </c>
      <c r="E73" s="13">
        <v>0</v>
      </c>
      <c r="F73" s="13"/>
      <c r="G73" s="13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1:34" ht="15.75" thickBot="1" x14ac:dyDescent="0.3">
      <c r="A74" s="16" t="s">
        <v>124</v>
      </c>
      <c r="B74" s="11" t="s">
        <v>115</v>
      </c>
      <c r="C74" s="11" t="s">
        <v>73</v>
      </c>
      <c r="D74" s="11" t="s">
        <v>109</v>
      </c>
      <c r="E74" s="13">
        <v>0</v>
      </c>
      <c r="F74" s="13"/>
      <c r="G74" s="13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1:34" ht="15.75" thickBot="1" x14ac:dyDescent="0.3">
      <c r="A75" s="16" t="s">
        <v>124</v>
      </c>
      <c r="B75" s="11" t="s">
        <v>115</v>
      </c>
      <c r="C75" s="11" t="s">
        <v>77</v>
      </c>
      <c r="D75" s="11" t="s">
        <v>110</v>
      </c>
      <c r="E75" s="13">
        <v>0</v>
      </c>
      <c r="F75" s="13"/>
      <c r="G75" s="13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1:34" ht="15.75" thickBot="1" x14ac:dyDescent="0.3">
      <c r="A76" s="26" t="s">
        <v>124</v>
      </c>
      <c r="B76" s="13" t="s">
        <v>115</v>
      </c>
      <c r="C76" s="11" t="s">
        <v>70</v>
      </c>
      <c r="D76" s="13" t="s">
        <v>111</v>
      </c>
      <c r="E76" s="13">
        <v>0</v>
      </c>
      <c r="F76" s="13"/>
      <c r="G76" s="13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1:34" ht="15.75" thickBot="1" x14ac:dyDescent="0.3">
      <c r="A77" s="16" t="s">
        <v>124</v>
      </c>
      <c r="B77" s="13" t="s">
        <v>115</v>
      </c>
      <c r="C77" s="11" t="s">
        <v>82</v>
      </c>
      <c r="D77" s="11" t="s">
        <v>112</v>
      </c>
      <c r="E77" s="13">
        <v>0</v>
      </c>
      <c r="F77" s="21"/>
      <c r="G77" s="13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1:34" ht="15.75" thickBot="1" x14ac:dyDescent="0.3">
      <c r="A78" s="16" t="s">
        <v>124</v>
      </c>
      <c r="B78" s="13" t="s">
        <v>115</v>
      </c>
      <c r="C78" s="11" t="s">
        <v>80</v>
      </c>
      <c r="D78" s="11" t="s">
        <v>113</v>
      </c>
      <c r="E78" s="13">
        <v>0</v>
      </c>
      <c r="F78" s="27"/>
      <c r="G78" s="13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1:34" ht="15.75" thickBot="1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1:34" ht="15.75" thickBot="1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1:34" ht="15.75" thickBot="1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1:34" ht="15.75" thickBot="1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1:34" ht="15.75" thickBot="1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1:34" ht="15.75" thickBot="1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1:34" ht="15.75" thickBot="1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1:34" ht="15.75" thickBot="1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1:34" ht="15.75" thickBot="1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1:34" ht="15.75" thickBot="1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1:34" ht="15.75" thickBot="1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1:34" ht="15.75" thickBot="1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1:34" ht="15.75" thickBot="1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1:34" ht="15.75" thickBot="1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1:34" ht="15.75" thickBot="1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1:34" ht="15.75" thickBot="1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1:34" ht="15.75" thickBot="1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1:34" ht="15.75" thickBot="1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1:34" ht="15.75" thickBot="1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1:34" ht="15.75" thickBot="1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1:34" ht="15.75" thickBot="1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1:34" ht="15.75" thickBot="1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1:34" ht="15.75" thickBo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1:34" ht="15.75" thickBot="1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1:34" ht="15.75" thickBot="1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1:34" ht="15.75" thickBot="1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1:34" ht="15.75" thickBot="1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1:34" ht="15.75" thickBot="1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1:34" ht="15.75" thickBot="1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spans="1:34" ht="15.75" thickBot="1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1:34" ht="15.75" thickBot="1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1:34" ht="15.75" thickBot="1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1:34" ht="15.75" thickBot="1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1:34" ht="15.75" thickBot="1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1:34" ht="15.75" thickBot="1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1:34" ht="15.75" thickBot="1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1:34" ht="15.75" thickBot="1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1:34" ht="15.75" thickBot="1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EIS</vt:lpstr>
      <vt:lpstr>Project_Alias</vt:lpstr>
      <vt:lpstr>EIS_Extra</vt:lpstr>
      <vt:lpstr>EIS_Web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Chang</dc:creator>
  <cp:lastModifiedBy>Cindy Chang</cp:lastModifiedBy>
  <dcterms:created xsi:type="dcterms:W3CDTF">2026-06-16T03:49:34Z</dcterms:created>
  <dcterms:modified xsi:type="dcterms:W3CDTF">2026-06-16T11:00:18Z</dcterms:modified>
</cp:coreProperties>
</file>